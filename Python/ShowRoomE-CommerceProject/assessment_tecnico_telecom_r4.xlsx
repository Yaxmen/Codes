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mim.duarte\Downloads\"/>
    </mc:Choice>
  </mc:AlternateContent>
  <xr:revisionPtr revIDLastSave="0" documentId="11_4451410FCD568A819D0E16356BC988E8D22E2D2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 de Viabilidade" sheetId="1" r:id="rId1"/>
    <sheet name="Cenarios e Evidencias" sheetId="2" r:id="rId2"/>
    <sheet name="Plano de Validacao" sheetId="3" r:id="rId3"/>
    <sheet name="Criterios e Pes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  <c r="M2" i="1"/>
</calcChain>
</file>

<file path=xl/sharedStrings.xml><?xml version="1.0" encoding="utf-8"?>
<sst xmlns="http://schemas.openxmlformats.org/spreadsheetml/2006/main" count="206" uniqueCount="135">
  <si>
    <t>CANDIDATO</t>
  </si>
  <si>
    <t>VOLUME / IMPACTO</t>
  </si>
  <si>
    <t>BASE AAP</t>
  </si>
  <si>
    <t>DIAGNÓSTICO</t>
  </si>
  <si>
    <t>AÇÃO CORRETIVA</t>
  </si>
  <si>
    <t>FIM A FIM</t>
  </si>
  <si>
    <t>DEPENDÊNCIAS</t>
  </si>
  <si>
    <t>STATUS</t>
  </si>
  <si>
    <t>FIM A FIM (1–5)</t>
  </si>
  <si>
    <t>AÇÃO (1–5)</t>
  </si>
  <si>
    <t>REUSO (1–5)</t>
  </si>
  <si>
    <t>DEPEND. (1–5)</t>
  </si>
  <si>
    <t>SCORE PONDERADO</t>
  </si>
  <si>
    <t>VOLUME (1–5)</t>
  </si>
  <si>
    <t>PRAZO (1–5)</t>
  </si>
  <si>
    <t>PRÓXIMA DECISÃO</t>
  </si>
  <si>
    <t>BADLINK WAN</t>
  </si>
  <si>
    <t>Alto no BADLINK geral; WAN isolado a validar</t>
  </si>
  <si>
    <t>LAN como referência</t>
  </si>
  <si>
    <t>Potencial</t>
  </si>
  <si>
    <t>A validar</t>
  </si>
  <si>
    <t>A mapear</t>
  </si>
  <si>
    <t>Em assessment</t>
  </si>
  <si>
    <t>Validar cenário E2E</t>
  </si>
  <si>
    <t>High CPU / Memory</t>
  </si>
  <si>
    <t>Fluxo AAP existente</t>
  </si>
  <si>
    <t>Confirmar viabilidade</t>
  </si>
  <si>
    <t>Equipment Down</t>
  </si>
  <si>
    <t>Alto</t>
  </si>
  <si>
    <t>OSPF Neighbor</t>
  </si>
  <si>
    <t>ORIENTAÇÃO</t>
  </si>
  <si>
    <t>Pontue 1–5 somente após evidência validada. Score aparece quando os seis critérios estiverem preenchidos.</t>
  </si>
  <si>
    <t>LEGENDA</t>
  </si>
  <si>
    <t>SIGNIFICADO</t>
  </si>
  <si>
    <t>Não confirmado por Telecom</t>
  </si>
  <si>
    <t>Hipótese técnica ainda não homologada</t>
  </si>
  <si>
    <t>Sem decisão de priorização</t>
  </si>
  <si>
    <t>CENÁRIO</t>
  </si>
  <si>
    <t>GATILHO / ENTRADA</t>
  </si>
  <si>
    <t>DIAGNÓSTICO AAP</t>
  </si>
  <si>
    <t>CRITÉRIO DE FECHAMENTO</t>
  </si>
  <si>
    <t>DEPENDÊNCIA</t>
  </si>
  <si>
    <t>EVIDÊNCIA / FONTE</t>
  </si>
  <si>
    <t>RESPONSÁVEL</t>
  </si>
  <si>
    <t>Interface normalizada</t>
  </si>
  <si>
    <t>Evento / incidente SNOW</t>
  </si>
  <si>
    <t>Estado de interface + estabilidade</t>
  </si>
  <si>
    <t>Atualizar / resolver se autorizado</t>
  </si>
  <si>
    <t>Evidência e regra operacional aprovadas</t>
  </si>
  <si>
    <t>Telecom + SNOW</t>
  </si>
  <si>
    <t>Automação + Telecom</t>
  </si>
  <si>
    <t>Falha persistente</t>
  </si>
  <si>
    <t>Interface/circuito com alarme</t>
  </si>
  <si>
    <t>Comandos e coleta de evidências</t>
  </si>
  <si>
    <t>A definir</t>
  </si>
  <si>
    <t>Operadora / rede / integrações</t>
  </si>
  <si>
    <t>Telecom</t>
  </si>
  <si>
    <t>Consumo elevado</t>
  </si>
  <si>
    <t>Alarme / incidente</t>
  </si>
  <si>
    <t>Coleta de processos e recursos</t>
  </si>
  <si>
    <t>Procedimento seguro</t>
  </si>
  <si>
    <t>Equipamento indisponível</t>
  </si>
  <si>
    <t>Evento de monitoramento</t>
  </si>
  <si>
    <t>Reachability / caminhos / equipamento</t>
  </si>
  <si>
    <t>Acesso e causa raiz</t>
  </si>
  <si>
    <t>Adjacência instável</t>
  </si>
  <si>
    <t>Evento OSPF</t>
  </si>
  <si>
    <t>Vizinhança, interfaces e logs</t>
  </si>
  <si>
    <t>Mudanças em roteamento</t>
  </si>
  <si>
    <t>ETAPA</t>
  </si>
  <si>
    <t>PERGUNTA / EVIDÊNCIA</t>
  </si>
  <si>
    <t>ENTREGA</t>
  </si>
  <si>
    <t>PRAZO ALVO</t>
  </si>
  <si>
    <t>OBSERVAÇÕES</t>
  </si>
  <si>
    <t>KR</t>
  </si>
  <si>
    <t>Qual métrica comprova 100% do cenário?</t>
  </si>
  <si>
    <t>Critério de aceite do KR</t>
  </si>
  <si>
    <t>Liderança / PO</t>
  </si>
  <si>
    <t>Sprint 1</t>
  </si>
  <si>
    <t>Pendente</t>
  </si>
  <si>
    <t>Confirmar redação oficial</t>
  </si>
  <si>
    <t>Priorização</t>
  </si>
  <si>
    <t>Qual candidato possui cenário resolvível?</t>
  </si>
  <si>
    <t>Escolha fundamentada</t>
  </si>
  <si>
    <t>Gate de decisão</t>
  </si>
  <si>
    <t>AS-IS WAN</t>
  </si>
  <si>
    <t>Como o incidente é tratado hoje?</t>
  </si>
  <si>
    <t>Fluxo atual e exceções</t>
  </si>
  <si>
    <t>Incluir One Click / Flow Designer</t>
  </si>
  <si>
    <t>Entradas</t>
  </si>
  <si>
    <t>Quais dados chegam do SNOW/monitoramento?</t>
  </si>
  <si>
    <t>Contrato de entrada</t>
  </si>
  <si>
    <t>Automação</t>
  </si>
  <si>
    <t>Campos obrigatórios</t>
  </si>
  <si>
    <t>Diagnóstico</t>
  </si>
  <si>
    <t>Quais comandos e evidências?</t>
  </si>
  <si>
    <t>Roles e testes</t>
  </si>
  <si>
    <t>Fabricantes e acesso</t>
  </si>
  <si>
    <t>Ação</t>
  </si>
  <si>
    <t>Qual correção é segura e autorizada?</t>
  </si>
  <si>
    <t>Matriz de decisões</t>
  </si>
  <si>
    <t>Sprint 1–2</t>
  </si>
  <si>
    <t>Sem mudança não aprovada</t>
  </si>
  <si>
    <t>Integração</t>
  </si>
  <si>
    <t>Como atualizar/resolver chamado?</t>
  </si>
  <si>
    <t>Contrato ServiceNow</t>
  </si>
  <si>
    <t>Automação + integração</t>
  </si>
  <si>
    <t>Sprint 2</t>
  </si>
  <si>
    <t>Falhas e retries</t>
  </si>
  <si>
    <t>Homologação</t>
  </si>
  <si>
    <t>Cenário E2E comprovado?</t>
  </si>
  <si>
    <t>Teste, evidências e métricas</t>
  </si>
  <si>
    <t>Sprint 2–3</t>
  </si>
  <si>
    <t>Ambiente e aprovação</t>
  </si>
  <si>
    <t>CRITÉRIO</t>
  </si>
  <si>
    <t>PESO (%)</t>
  </si>
  <si>
    <t>COMO AVALIAR</t>
  </si>
  <si>
    <t>ESCALA</t>
  </si>
  <si>
    <t>Resolução fim a fim</t>
  </si>
  <si>
    <t>Probabilidade de encerrar cenário sem ação humana</t>
  </si>
  <si>
    <t>1 = muito baixo; 5 = muito alto</t>
  </si>
  <si>
    <t>Ação corretiva via Ansible</t>
  </si>
  <si>
    <t>Ações técnicas seguras e autorizáveis</t>
  </si>
  <si>
    <t>Reaproveitamento técnico</t>
  </si>
  <si>
    <t>Roles, JTs, integrações e fluxos existentes</t>
  </si>
  <si>
    <t>Baixa dependência externa</t>
  </si>
  <si>
    <t>Menos bloqueios de operadora, aprovações e sistemas</t>
  </si>
  <si>
    <t>Volume / impacto</t>
  </si>
  <si>
    <t>Recorrência e relevância para operação</t>
  </si>
  <si>
    <t>Entrega na R4</t>
  </si>
  <si>
    <t>Probabilidade de entregar e homologar em prazo</t>
  </si>
  <si>
    <t>REGRA</t>
  </si>
  <si>
    <t>Sem notas = sem ranking</t>
  </si>
  <si>
    <t>Não pontuar hipóteses como fatos</t>
  </si>
  <si>
    <t>Dependência: 5 = poucas dependências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</si>
</sst>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D3A"/>
      </patternFill>
    </fill>
    <fill>
      <patternFill patternType="solid">
        <fgColor rgb="FFFFF1E4"/>
      </patternFill>
    </fill>
    <fill>
      <patternFill patternType="solid">
        <fgColor rgb="FFDCE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="53" workbookViewId="0">
      <pane ySplit="1" topLeftCell="A2" activePane="bottomLeft" state="frozen"/>
      <selection pane="bottomLeft"/>
    </sheetView>
  </sheetViews>
  <sheetFormatPr defaultRowHeight="14"/>
  <cols>
    <col min="1" max="1" width="23" customWidth="1"/>
    <col min="2" max="2" width="28" customWidth="1"/>
    <col min="3" max="3" width="26" customWidth="1"/>
    <col min="4" max="5" width="19" customWidth="1"/>
    <col min="6" max="6" width="17" customWidth="1"/>
    <col min="7" max="7" width="19" customWidth="1"/>
    <col min="8" max="8" width="17" customWidth="1"/>
    <col min="9" max="9" width="16" customWidth="1"/>
    <col min="10" max="11" width="15" customWidth="1"/>
    <col min="12" max="12" width="17" customWidth="1"/>
    <col min="13" max="13" width="19" customWidth="1"/>
    <col min="14" max="15" width="15" customWidth="1"/>
    <col min="16" max="16" width="26" customWidth="1"/>
  </cols>
  <sheetData>
    <row r="1" spans="1:1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6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20</v>
      </c>
      <c r="G2" s="2" t="s">
        <v>21</v>
      </c>
      <c r="H2" s="2" t="s">
        <v>22</v>
      </c>
      <c r="I2" s="3"/>
      <c r="J2" s="3"/>
      <c r="K2" s="3"/>
      <c r="L2" s="3"/>
      <c r="M2" s="4" t="str">
        <f>IF(COUNT(I2:L2,N2:O2)&lt;6,"A validar",ROUND((I2*'Criterios e Pesos'!$B$2+J2*'Criterios e Pesos'!$B$3+K2*'Criterios e Pesos'!$B$4+L2*'Criterios e Pesos'!$B$5+N2*'Criterios e Pesos'!$B$6+O2*'Criterios e Pesos'!$B$7)/100,2))</f>
        <v>A validar</v>
      </c>
      <c r="N2" s="3"/>
      <c r="O2" s="3"/>
      <c r="P2" s="2" t="s">
        <v>23</v>
      </c>
    </row>
    <row r="3" spans="1:16" ht="46" customHeight="1">
      <c r="A3" s="2" t="s">
        <v>24</v>
      </c>
      <c r="B3" s="2" t="s">
        <v>20</v>
      </c>
      <c r="C3" s="2" t="s">
        <v>25</v>
      </c>
      <c r="D3" s="2" t="s">
        <v>19</v>
      </c>
      <c r="E3" s="2" t="s">
        <v>20</v>
      </c>
      <c r="F3" s="2" t="s">
        <v>20</v>
      </c>
      <c r="G3" s="2" t="s">
        <v>21</v>
      </c>
      <c r="H3" s="2" t="s">
        <v>22</v>
      </c>
      <c r="I3" s="3"/>
      <c r="J3" s="3"/>
      <c r="K3" s="3"/>
      <c r="L3" s="3"/>
      <c r="M3" s="4" t="str">
        <f>IF(COUNT(I3:L3,N3:O3)&lt;6,"A validar",ROUND((I3*'Criterios e Pesos'!$B$2+J3*'Criterios e Pesos'!$B$3+K3*'Criterios e Pesos'!$B$4+L3*'Criterios e Pesos'!$B$5+N3*'Criterios e Pesos'!$B$6+O3*'Criterios e Pesos'!$B$7)/100,2))</f>
        <v>A validar</v>
      </c>
      <c r="N3" s="3"/>
      <c r="O3" s="3"/>
      <c r="P3" s="2" t="s">
        <v>26</v>
      </c>
    </row>
    <row r="4" spans="1:16" ht="46" customHeight="1">
      <c r="A4" s="2" t="s">
        <v>27</v>
      </c>
      <c r="B4" s="2" t="s">
        <v>28</v>
      </c>
      <c r="C4" s="2" t="s">
        <v>20</v>
      </c>
      <c r="D4" s="2" t="s">
        <v>19</v>
      </c>
      <c r="E4" s="2" t="s">
        <v>20</v>
      </c>
      <c r="F4" s="2" t="s">
        <v>20</v>
      </c>
      <c r="G4" s="2" t="s">
        <v>21</v>
      </c>
      <c r="H4" s="2" t="s">
        <v>22</v>
      </c>
      <c r="I4" s="3"/>
      <c r="J4" s="3"/>
      <c r="K4" s="3"/>
      <c r="L4" s="3"/>
      <c r="M4" s="4" t="str">
        <f>IF(COUNT(I4:L4,N4:O4)&lt;6,"A validar",ROUND((I4*'Criterios e Pesos'!$B$2+J4*'Criterios e Pesos'!$B$3+K4*'Criterios e Pesos'!$B$4+L4*'Criterios e Pesos'!$B$5+N4*'Criterios e Pesos'!$B$6+O4*'Criterios e Pesos'!$B$7)/100,2))</f>
        <v>A validar</v>
      </c>
      <c r="N4" s="3"/>
      <c r="O4" s="3"/>
      <c r="P4" s="2" t="s">
        <v>26</v>
      </c>
    </row>
    <row r="5" spans="1:16" ht="46" customHeight="1">
      <c r="A5" s="2" t="s">
        <v>29</v>
      </c>
      <c r="B5" s="2" t="s">
        <v>28</v>
      </c>
      <c r="C5" s="2" t="s">
        <v>20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/>
      <c r="J5" s="3"/>
      <c r="K5" s="3"/>
      <c r="L5" s="3"/>
      <c r="M5" s="4" t="str">
        <f>IF(COUNT(I5:L5,N5:O5)&lt;6,"A validar",ROUND((I5*'Criterios e Pesos'!$B$2+J5*'Criterios e Pesos'!$B$3+K5*'Criterios e Pesos'!$B$4+L5*'Criterios e Pesos'!$B$5+N5*'Criterios e Pesos'!$B$6+O5*'Criterios e Pesos'!$B$7)/100,2))</f>
        <v>A validar</v>
      </c>
      <c r="N5" s="3"/>
      <c r="O5" s="3"/>
      <c r="P5" s="2" t="s">
        <v>26</v>
      </c>
    </row>
    <row r="8" spans="1:16">
      <c r="A8" t="s">
        <v>30</v>
      </c>
      <c r="B8" t="s">
        <v>31</v>
      </c>
    </row>
    <row r="10" spans="1:16">
      <c r="A10" t="s">
        <v>32</v>
      </c>
      <c r="B10" t="s">
        <v>33</v>
      </c>
    </row>
    <row r="11" spans="1:16">
      <c r="A11" t="s">
        <v>20</v>
      </c>
      <c r="B11" t="s">
        <v>34</v>
      </c>
    </row>
    <row r="12" spans="1:16">
      <c r="A12" t="s">
        <v>19</v>
      </c>
      <c r="B12" t="s">
        <v>35</v>
      </c>
    </row>
    <row r="13" spans="1:16">
      <c r="A13" t="s">
        <v>22</v>
      </c>
      <c r="B13" t="s">
        <v>36</v>
      </c>
    </row>
  </sheetData>
  <dataValidations count="1">
    <dataValidation type="list" sqref="I2:L5 N2:O5" xr:uid="{00000000-0002-0000-0000-000000000000}">
      <formula1>"1,2,3,4,5"</formula1>
    </dataValidation>
  </dataValidations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zoomScale="60" zoomScaleNormal="60" workbookViewId="0">
      <pane ySplit="1" topLeftCell="A2" activePane="bottomLeft" state="frozen"/>
      <selection pane="bottomLeft"/>
    </sheetView>
  </sheetViews>
  <sheetFormatPr defaultRowHeight="14"/>
  <cols>
    <col min="1" max="1" width="22" customWidth="1"/>
    <col min="2" max="2" width="24" customWidth="1"/>
    <col min="3" max="3" width="28" customWidth="1"/>
    <col min="4" max="4" width="30" customWidth="1"/>
    <col min="5" max="5" width="31" customWidth="1"/>
    <col min="6" max="6" width="35" customWidth="1"/>
    <col min="7" max="7" width="25" customWidth="1"/>
    <col min="8" max="8" width="26" customWidth="1"/>
    <col min="9" max="9" width="23" customWidth="1"/>
    <col min="10" max="10" width="18" customWidth="1"/>
  </cols>
  <sheetData>
    <row r="1" spans="1:10" ht="36" customHeight="1">
      <c r="A1" s="1" t="s">
        <v>0</v>
      </c>
      <c r="B1" s="1" t="s">
        <v>37</v>
      </c>
      <c r="C1" s="1" t="s">
        <v>38</v>
      </c>
      <c r="D1" s="1" t="s">
        <v>39</v>
      </c>
      <c r="E1" s="1" t="s">
        <v>4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7</v>
      </c>
    </row>
    <row r="2" spans="1:10" ht="46" customHeight="1">
      <c r="A2" s="2" t="s">
        <v>16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/>
      <c r="I2" s="2" t="s">
        <v>50</v>
      </c>
      <c r="J2" s="3" t="s">
        <v>20</v>
      </c>
    </row>
    <row r="3" spans="1:10" ht="46" customHeight="1">
      <c r="A3" s="2" t="s">
        <v>16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54</v>
      </c>
      <c r="G3" s="2" t="s">
        <v>55</v>
      </c>
      <c r="H3" s="2"/>
      <c r="I3" s="2" t="s">
        <v>56</v>
      </c>
      <c r="J3" s="3" t="s">
        <v>20</v>
      </c>
    </row>
    <row r="4" spans="1:10" ht="46" customHeight="1">
      <c r="A4" s="2" t="s">
        <v>24</v>
      </c>
      <c r="B4" s="2" t="s">
        <v>57</v>
      </c>
      <c r="C4" s="2" t="s">
        <v>58</v>
      </c>
      <c r="D4" s="2" t="s">
        <v>59</v>
      </c>
      <c r="E4" s="2" t="s">
        <v>54</v>
      </c>
      <c r="F4" s="2" t="s">
        <v>54</v>
      </c>
      <c r="G4" s="2" t="s">
        <v>60</v>
      </c>
      <c r="H4" s="2"/>
      <c r="I4" s="2" t="s">
        <v>56</v>
      </c>
      <c r="J4" s="3" t="s">
        <v>20</v>
      </c>
    </row>
    <row r="5" spans="1:10" ht="46" customHeight="1">
      <c r="A5" s="2" t="s">
        <v>27</v>
      </c>
      <c r="B5" s="2" t="s">
        <v>61</v>
      </c>
      <c r="C5" s="2" t="s">
        <v>62</v>
      </c>
      <c r="D5" s="2" t="s">
        <v>63</v>
      </c>
      <c r="E5" s="2" t="s">
        <v>54</v>
      </c>
      <c r="F5" s="2" t="s">
        <v>54</v>
      </c>
      <c r="G5" s="2" t="s">
        <v>64</v>
      </c>
      <c r="H5" s="2"/>
      <c r="I5" s="2" t="s">
        <v>56</v>
      </c>
      <c r="J5" s="3" t="s">
        <v>20</v>
      </c>
    </row>
    <row r="6" spans="1:10" ht="46" customHeight="1">
      <c r="A6" s="2" t="s">
        <v>29</v>
      </c>
      <c r="B6" s="2" t="s">
        <v>65</v>
      </c>
      <c r="C6" s="2" t="s">
        <v>66</v>
      </c>
      <c r="D6" s="2" t="s">
        <v>67</v>
      </c>
      <c r="E6" s="2" t="s">
        <v>54</v>
      </c>
      <c r="F6" s="2" t="s">
        <v>54</v>
      </c>
      <c r="G6" s="2" t="s">
        <v>68</v>
      </c>
      <c r="H6" s="2"/>
      <c r="I6" s="2" t="s">
        <v>56</v>
      </c>
      <c r="J6" s="3" t="s">
        <v>20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="60" zoomScaleNormal="60"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42" customWidth="1"/>
    <col min="3" max="3" width="30" customWidth="1"/>
    <col min="4" max="4" width="27" customWidth="1"/>
    <col min="5" max="5" width="17" customWidth="1"/>
    <col min="6" max="6" width="16" customWidth="1"/>
    <col min="7" max="7" width="32" customWidth="1"/>
  </cols>
  <sheetData>
    <row r="1" spans="1:7" ht="36" customHeight="1">
      <c r="A1" s="1" t="s">
        <v>69</v>
      </c>
      <c r="B1" s="1" t="s">
        <v>70</v>
      </c>
      <c r="C1" s="1" t="s">
        <v>71</v>
      </c>
      <c r="D1" s="1" t="s">
        <v>43</v>
      </c>
      <c r="E1" s="1" t="s">
        <v>72</v>
      </c>
      <c r="F1" s="1" t="s">
        <v>7</v>
      </c>
      <c r="G1" s="1" t="s">
        <v>73</v>
      </c>
    </row>
    <row r="2" spans="1:7" ht="46" customHeight="1">
      <c r="A2" s="2" t="s">
        <v>74</v>
      </c>
      <c r="B2" s="2" t="s">
        <v>75</v>
      </c>
      <c r="C2" s="2" t="s">
        <v>76</v>
      </c>
      <c r="D2" s="2" t="s">
        <v>77</v>
      </c>
      <c r="E2" s="2" t="s">
        <v>78</v>
      </c>
      <c r="F2" s="3" t="s">
        <v>79</v>
      </c>
      <c r="G2" s="2" t="s">
        <v>80</v>
      </c>
    </row>
    <row r="3" spans="1:7" ht="46" customHeight="1">
      <c r="A3" s="2" t="s">
        <v>81</v>
      </c>
      <c r="B3" s="2" t="s">
        <v>82</v>
      </c>
      <c r="C3" s="2" t="s">
        <v>83</v>
      </c>
      <c r="D3" s="2" t="s">
        <v>50</v>
      </c>
      <c r="E3" s="2" t="s">
        <v>78</v>
      </c>
      <c r="F3" s="3" t="s">
        <v>79</v>
      </c>
      <c r="G3" s="2" t="s">
        <v>84</v>
      </c>
    </row>
    <row r="4" spans="1:7" ht="46" customHeight="1">
      <c r="A4" s="2" t="s">
        <v>85</v>
      </c>
      <c r="B4" s="2" t="s">
        <v>86</v>
      </c>
      <c r="C4" s="2" t="s">
        <v>87</v>
      </c>
      <c r="D4" s="2" t="s">
        <v>56</v>
      </c>
      <c r="E4" s="2" t="s">
        <v>78</v>
      </c>
      <c r="F4" s="3" t="s">
        <v>79</v>
      </c>
      <c r="G4" s="2" t="s">
        <v>88</v>
      </c>
    </row>
    <row r="5" spans="1:7" ht="46" customHeight="1">
      <c r="A5" s="2" t="s">
        <v>89</v>
      </c>
      <c r="B5" s="2" t="s">
        <v>90</v>
      </c>
      <c r="C5" s="2" t="s">
        <v>91</v>
      </c>
      <c r="D5" s="2" t="s">
        <v>92</v>
      </c>
      <c r="E5" s="2" t="s">
        <v>78</v>
      </c>
      <c r="F5" s="3" t="s">
        <v>79</v>
      </c>
      <c r="G5" s="2" t="s">
        <v>93</v>
      </c>
    </row>
    <row r="6" spans="1:7" ht="46" customHeight="1">
      <c r="A6" s="2" t="s">
        <v>94</v>
      </c>
      <c r="B6" s="2" t="s">
        <v>95</v>
      </c>
      <c r="C6" s="2" t="s">
        <v>96</v>
      </c>
      <c r="D6" s="2" t="s">
        <v>50</v>
      </c>
      <c r="E6" s="2" t="s">
        <v>78</v>
      </c>
      <c r="F6" s="3" t="s">
        <v>79</v>
      </c>
      <c r="G6" s="2" t="s">
        <v>97</v>
      </c>
    </row>
    <row r="7" spans="1:7" ht="46" customHeight="1">
      <c r="A7" s="2" t="s">
        <v>98</v>
      </c>
      <c r="B7" s="2" t="s">
        <v>99</v>
      </c>
      <c r="C7" s="2" t="s">
        <v>100</v>
      </c>
      <c r="D7" s="2" t="s">
        <v>56</v>
      </c>
      <c r="E7" s="2" t="s">
        <v>101</v>
      </c>
      <c r="F7" s="3" t="s">
        <v>79</v>
      </c>
      <c r="G7" s="2" t="s">
        <v>102</v>
      </c>
    </row>
    <row r="8" spans="1:7" ht="46" customHeight="1">
      <c r="A8" s="2" t="s">
        <v>103</v>
      </c>
      <c r="B8" s="2" t="s">
        <v>104</v>
      </c>
      <c r="C8" s="2" t="s">
        <v>105</v>
      </c>
      <c r="D8" s="2" t="s">
        <v>106</v>
      </c>
      <c r="E8" s="2" t="s">
        <v>107</v>
      </c>
      <c r="F8" s="3" t="s">
        <v>79</v>
      </c>
      <c r="G8" s="2" t="s">
        <v>108</v>
      </c>
    </row>
    <row r="9" spans="1:7" ht="46" customHeight="1">
      <c r="A9" s="2" t="s">
        <v>109</v>
      </c>
      <c r="B9" s="2" t="s">
        <v>110</v>
      </c>
      <c r="C9" s="2" t="s">
        <v>111</v>
      </c>
      <c r="D9" s="2" t="s">
        <v>50</v>
      </c>
      <c r="E9" s="2" t="s">
        <v>112</v>
      </c>
      <c r="F9" s="3" t="s">
        <v>79</v>
      </c>
      <c r="G9" s="2" t="s">
        <v>113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="73" workbookViewId="0">
      <pane ySplit="1" topLeftCell="A4" activePane="bottomLeft" state="frozen"/>
      <selection pane="bottomLeft"/>
    </sheetView>
  </sheetViews>
  <sheetFormatPr defaultRowHeight="14"/>
  <cols>
    <col min="1" max="1" width="33" customWidth="1"/>
    <col min="2" max="2" width="14" customWidth="1"/>
    <col min="3" max="3" width="62" customWidth="1"/>
    <col min="4" max="4" width="42" customWidth="1"/>
  </cols>
  <sheetData>
    <row r="1" spans="1:4" ht="36" customHeight="1">
      <c r="A1" s="1" t="s">
        <v>114</v>
      </c>
      <c r="B1" s="1" t="s">
        <v>115</v>
      </c>
      <c r="C1" s="1" t="s">
        <v>116</v>
      </c>
      <c r="D1" s="1" t="s">
        <v>117</v>
      </c>
    </row>
    <row r="2" spans="1:4" ht="46" customHeight="1">
      <c r="A2" s="2" t="s">
        <v>118</v>
      </c>
      <c r="B2" s="3">
        <v>35</v>
      </c>
      <c r="C2" s="2" t="s">
        <v>119</v>
      </c>
      <c r="D2" s="2" t="s">
        <v>120</v>
      </c>
    </row>
    <row r="3" spans="1:4" ht="46" customHeight="1">
      <c r="A3" s="2" t="s">
        <v>121</v>
      </c>
      <c r="B3" s="3">
        <v>25</v>
      </c>
      <c r="C3" s="2" t="s">
        <v>122</v>
      </c>
      <c r="D3" s="2" t="s">
        <v>120</v>
      </c>
    </row>
    <row r="4" spans="1:4" ht="46" customHeight="1">
      <c r="A4" s="2" t="s">
        <v>123</v>
      </c>
      <c r="B4" s="3">
        <v>15</v>
      </c>
      <c r="C4" s="2" t="s">
        <v>124</v>
      </c>
      <c r="D4" s="2" t="s">
        <v>120</v>
      </c>
    </row>
    <row r="5" spans="1:4" ht="46" customHeight="1">
      <c r="A5" s="2" t="s">
        <v>125</v>
      </c>
      <c r="B5" s="3">
        <v>10</v>
      </c>
      <c r="C5" s="2" t="s">
        <v>126</v>
      </c>
      <c r="D5" s="2" t="s">
        <v>120</v>
      </c>
    </row>
    <row r="6" spans="1:4" ht="46" customHeight="1">
      <c r="A6" s="2" t="s">
        <v>127</v>
      </c>
      <c r="B6" s="3">
        <v>10</v>
      </c>
      <c r="C6" s="2" t="s">
        <v>128</v>
      </c>
      <c r="D6" s="2" t="s">
        <v>120</v>
      </c>
    </row>
    <row r="7" spans="1:4" ht="46" customHeight="1">
      <c r="A7" s="2" t="s">
        <v>129</v>
      </c>
      <c r="B7" s="3">
        <v>5</v>
      </c>
      <c r="C7" s="2" t="s">
        <v>130</v>
      </c>
      <c r="D7" s="2" t="s">
        <v>120</v>
      </c>
    </row>
    <row r="9" spans="1:4">
      <c r="A9" t="s">
        <v>131</v>
      </c>
      <c r="B9" t="s">
        <v>132</v>
      </c>
      <c r="C9" t="s">
        <v>133</v>
      </c>
      <c r="D9" t="s">
        <v>134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 de Viabilidade</vt:lpstr>
      <vt:lpstr>Cenarios e Evidencias</vt:lpstr>
      <vt:lpstr>Plano de Validacao</vt:lpstr>
      <vt:lpstr>Criterios e Pesos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Yasmim Duarte</cp:lastModifiedBy>
  <dcterms:modified xsi:type="dcterms:W3CDTF">2026-10-12T19:54:30Z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2026-10-12T19:54:29Z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c049b963-02ae-4355-926f-6ac59bf15eb5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